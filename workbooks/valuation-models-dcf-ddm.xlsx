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CF Model" sheetId="2" state="visible" r:id="rId2"/>
    <sheet xmlns:r="http://schemas.openxmlformats.org/officeDocument/2006/relationships" name="DDM Model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;($#,##0);-"/>
    <numFmt numFmtId="165" formatCode="0.0%"/>
    <numFmt numFmtId="166" formatCode="#,##0.0;(#,##0.0);-"/>
    <numFmt numFmtId="167" formatCode="$#,##0.00;($#,##0.00);-"/>
    <numFmt numFmtId="168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color rgb="00000000"/>
      <sz val="11"/>
    </font>
    <font>
      <name val="Calibri"/>
      <b val="1"/>
      <color rgb="001F4E78"/>
      <sz val="11"/>
    </font>
    <font>
      <name val="Calibri"/>
      <color rgb="000000FF"/>
      <sz val="11"/>
      <u val="single"/>
    </font>
    <font>
      <name val="Calibri"/>
      <b val="1"/>
      <color rgb="00FFFFFF"/>
      <sz val="11"/>
    </font>
    <font>
      <name val="Calibri"/>
      <color rgb="000000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59D"/>
      </patternFill>
    </fill>
  </fills>
  <borders count="2">
    <border>
      <left/>
      <right/>
      <top/>
      <bottom/>
      <diagonal/>
    </border>
    <border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6" fillId="3" borderId="1" pivotButton="0" quotePrefix="0" xfId="0"/>
    <xf numFmtId="0" fontId="0" fillId="0" borderId="1" applyAlignment="1" pivotButton="0" quotePrefix="0" xfId="0">
      <alignment horizontal="left" vertical="center"/>
    </xf>
    <xf numFmtId="49" fontId="5" fillId="2" borderId="1" applyAlignment="1" pivotButton="0" quotePrefix="0" xfId="0">
      <alignment horizontal="right" vertical="center"/>
    </xf>
    <xf numFmtId="165" fontId="6" fillId="3" borderId="1" pivotButton="0" quotePrefix="0" xfId="0"/>
    <xf numFmtId="0" fontId="3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6" fillId="3" borderId="1" pivotButton="0" quotePrefix="0" xfId="0"/>
    <xf numFmtId="0" fontId="0" fillId="0" borderId="1" applyAlignment="1" pivotButton="0" quotePrefix="0" xfId="0">
      <alignment horizontal="right" vertical="center"/>
    </xf>
    <xf numFmtId="0" fontId="0" fillId="0" borderId="1" pivotButton="0" quotePrefix="0" xfId="0"/>
    <xf numFmtId="167" fontId="2" fillId="0" borderId="1" applyAlignment="1" pivotButton="0" quotePrefix="0" xfId="0">
      <alignment horizontal="right" vertical="center"/>
    </xf>
    <xf numFmtId="168" fontId="6" fillId="3" borderId="1" applyAlignment="1" pivotButton="0" quotePrefix="0" xfId="0">
      <alignment horizontal="right" vertical="center"/>
    </xf>
    <xf numFmtId="165" fontId="6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DCF Model!A1" TargetMode="External" Id="rId1"/><Relationship Type="http://schemas.openxmlformats.org/officeDocument/2006/relationships/hyperlink" Target="#DDM Model!A1" TargetMode="External" Id="rId2"/><Relationship Type="http://schemas.openxmlformats.org/officeDocument/2006/relationships/hyperlink" Target="#Instructions!A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/>
    <row r="2">
      <c r="B2" s="1" t="inlineStr">
        <is>
          <t>Valuation Models: DCF and DDM</t>
        </is>
      </c>
    </row>
    <row r="3">
      <c r="B3" s="2" t="inlineStr">
        <is>
          <t>Input blue cells only. Formulas are black. Cross-sheet links are green.</t>
        </is>
      </c>
    </row>
    <row r="4"/>
    <row r="5">
      <c r="B5" s="3" t="inlineStr">
        <is>
          <t>Workbook map</t>
        </is>
      </c>
    </row>
    <row r="6">
      <c r="B6" s="4" t="inlineStr">
        <is>
          <t>DCF Model</t>
        </is>
      </c>
    </row>
    <row r="7">
      <c r="B7" s="4" t="inlineStr">
        <is>
          <t>DDM Model</t>
        </is>
      </c>
    </row>
    <row r="8">
      <c r="B8" s="4" t="inlineStr">
        <is>
          <t>Instructions</t>
        </is>
      </c>
    </row>
    <row r="9"/>
    <row r="10">
      <c r="B10" s="5" t="inlineStr">
        <is>
          <t>Model</t>
        </is>
      </c>
      <c r="C10" s="5" t="inlineStr">
        <is>
          <t>Purpose</t>
        </is>
      </c>
    </row>
    <row r="11">
      <c r="B11" s="2" t="inlineStr">
        <is>
          <t>DCF Model</t>
        </is>
      </c>
      <c r="C11" s="2" t="inlineStr">
        <is>
          <t>Free cash flow to firm valuation with WACC and terminal value</t>
        </is>
      </c>
    </row>
    <row r="12">
      <c r="B12" s="2" t="inlineStr">
        <is>
          <t>DDM Model</t>
        </is>
      </c>
      <c r="C12" s="2" t="inlineStr">
        <is>
          <t>Dividend discount model with multi-stage growth and terminal value</t>
        </is>
      </c>
    </row>
    <row r="13"/>
    <row r="14"/>
    <row r="15">
      <c r="B15" s="3" t="inlineStr">
        <is>
          <t>Generated</t>
        </is>
      </c>
      <c r="C15" s="2" t="inlineStr">
        <is>
          <t>2026-06-13 17:50</t>
        </is>
      </c>
    </row>
    <row r="16">
      <c r="B16" s="3" t="inlineStr">
        <is>
          <t>Notes</t>
        </is>
      </c>
      <c r="C16" s="2" t="inlineStr">
        <is>
          <t>Models are template-based and intended for editable scenario analysis.</t>
        </is>
      </c>
    </row>
  </sheetData>
  <mergeCells count="2">
    <mergeCell ref="B3:H3"/>
    <mergeCell ref="B2:H2"/>
  </mergeCell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1" customWidth="1" min="2" max="2"/>
    <col width="28" customWidth="1" min="3" max="3"/>
    <col width="28" customWidth="1" min="4" max="4"/>
    <col width="28" customWidth="1" min="5" max="5"/>
    <col width="20" customWidth="1" min="6" max="6"/>
    <col width="20" customWidth="1" min="7" max="7"/>
    <col width="20" customWidth="1" min="8" max="8"/>
    <col width="20" customWidth="1" min="9" max="9"/>
    <col width="12" customWidth="1" min="10" max="10"/>
  </cols>
  <sheetData>
    <row r="1"/>
    <row r="2">
      <c r="B2" s="5" t="inlineStr">
        <is>
          <t>DCF Valuation Model</t>
        </is>
      </c>
    </row>
    <row r="3"/>
    <row r="4">
      <c r="B4" s="3" t="inlineStr">
        <is>
          <t>Assumptions</t>
        </is>
      </c>
    </row>
    <row r="5">
      <c r="B5" s="6" t="inlineStr">
        <is>
          <t>Revenue 2026 ($mm)</t>
        </is>
      </c>
      <c r="C5" s="7" t="n">
        <v>1000</v>
      </c>
      <c r="D5" s="8" t="n"/>
      <c r="E5" s="9" t="inlineStr">
        <is>
          <t>2026</t>
        </is>
      </c>
      <c r="F5" s="9" t="inlineStr">
        <is>
          <t>2027</t>
        </is>
      </c>
      <c r="G5" s="9" t="inlineStr">
        <is>
          <t>2028</t>
        </is>
      </c>
      <c r="H5" s="9" t="inlineStr">
        <is>
          <t>2029</t>
        </is>
      </c>
      <c r="I5" s="9" t="inlineStr">
        <is>
          <t>2030</t>
        </is>
      </c>
    </row>
    <row r="6">
      <c r="B6" s="6" t="inlineStr">
        <is>
          <t>Revenue growth 2027</t>
        </is>
      </c>
      <c r="C6" s="10" t="n">
        <v>0.08</v>
      </c>
      <c r="D6" s="11" t="inlineStr">
        <is>
          <t>Revenue ($mm)</t>
        </is>
      </c>
      <c r="E6" s="12">
        <f>C5</f>
        <v/>
      </c>
      <c r="F6" s="12">
        <f>E6*(1+$C$6)</f>
        <v/>
      </c>
      <c r="G6" s="12">
        <f>F6*(1+$C$7)</f>
        <v/>
      </c>
      <c r="H6" s="12">
        <f>G6*(1+$C$8)</f>
        <v/>
      </c>
      <c r="I6" s="12">
        <f>H6*(1+$C$9)</f>
        <v/>
      </c>
    </row>
    <row r="7">
      <c r="B7" s="6" t="inlineStr">
        <is>
          <t>Revenue growth 2028</t>
        </is>
      </c>
      <c r="C7" s="10" t="n">
        <v>0.07000000000000001</v>
      </c>
      <c r="D7" s="11" t="inlineStr">
        <is>
          <t>EBIT ($mm)</t>
        </is>
      </c>
      <c r="E7" s="12">
        <f>E6*$C$10</f>
        <v/>
      </c>
      <c r="F7" s="12">
        <f>F6*$C$10</f>
        <v/>
      </c>
      <c r="G7" s="12">
        <f>G6*$C$10</f>
        <v/>
      </c>
      <c r="H7" s="12">
        <f>H6*$C$10</f>
        <v/>
      </c>
      <c r="I7" s="12">
        <f>I6*$C$10</f>
        <v/>
      </c>
    </row>
    <row r="8">
      <c r="B8" s="6" t="inlineStr">
        <is>
          <t>Revenue growth 2029</t>
        </is>
      </c>
      <c r="C8" s="10" t="n">
        <v>0.06</v>
      </c>
      <c r="D8" s="11" t="inlineStr">
        <is>
          <t>NOPAT ($mm)</t>
        </is>
      </c>
      <c r="E8" s="12">
        <f>E7*(1-$C$11)</f>
        <v/>
      </c>
      <c r="F8" s="12">
        <f>F7*(1-$C$11)</f>
        <v/>
      </c>
      <c r="G8" s="12">
        <f>G7*(1-$C$11)</f>
        <v/>
      </c>
      <c r="H8" s="12">
        <f>H7*(1-$C$11)</f>
        <v/>
      </c>
      <c r="I8" s="12">
        <f>I7*(1-$C$11)</f>
        <v/>
      </c>
    </row>
    <row r="9">
      <c r="B9" s="6" t="inlineStr">
        <is>
          <t>Revenue growth 2030</t>
        </is>
      </c>
      <c r="C9" s="10" t="n">
        <v>0.05</v>
      </c>
      <c r="D9" s="11" t="inlineStr">
        <is>
          <t>D&amp;A ($mm)</t>
        </is>
      </c>
      <c r="E9" s="12">
        <f>E6*$C$12</f>
        <v/>
      </c>
      <c r="F9" s="12">
        <f>F6*$C$12</f>
        <v/>
      </c>
      <c r="G9" s="12">
        <f>G6*$C$12</f>
        <v/>
      </c>
      <c r="H9" s="12">
        <f>H6*$C$12</f>
        <v/>
      </c>
      <c r="I9" s="12">
        <f>I6*$C$12</f>
        <v/>
      </c>
    </row>
    <row r="10">
      <c r="B10" s="6" t="inlineStr">
        <is>
          <t>EBIT margin</t>
        </is>
      </c>
      <c r="C10" s="10" t="n">
        <v>0.18</v>
      </c>
      <c r="D10" s="11" t="inlineStr">
        <is>
          <t>Capex ($mm)</t>
        </is>
      </c>
      <c r="E10" s="12">
        <f>E6*$C$13</f>
        <v/>
      </c>
      <c r="F10" s="12">
        <f>F6*$C$13</f>
        <v/>
      </c>
      <c r="G10" s="12">
        <f>G6*$C$13</f>
        <v/>
      </c>
      <c r="H10" s="12">
        <f>H6*$C$13</f>
        <v/>
      </c>
      <c r="I10" s="12">
        <f>I6*$C$13</f>
        <v/>
      </c>
    </row>
    <row r="11">
      <c r="B11" s="6" t="inlineStr">
        <is>
          <t>Tax rate</t>
        </is>
      </c>
      <c r="C11" s="10" t="n">
        <v>0.25</v>
      </c>
      <c r="D11" s="11" t="inlineStr">
        <is>
          <t>Change in NWC ($mm)</t>
        </is>
      </c>
      <c r="E11" s="12">
        <f>E6*$C$14-$C$15*$C$5</f>
        <v/>
      </c>
      <c r="F11" s="12">
        <f>F6*$C$14-E6*$C$14</f>
        <v/>
      </c>
      <c r="G11" s="12">
        <f>G6*$C$14-F6*$C$14</f>
        <v/>
      </c>
      <c r="H11" s="12">
        <f>H6*$C$14-G6*$C$14</f>
        <v/>
      </c>
      <c r="I11" s="12">
        <f>I6*$C$14-H6*$C$14</f>
        <v/>
      </c>
    </row>
    <row r="12">
      <c r="B12" s="6" t="inlineStr">
        <is>
          <t>D&amp;A (% Revenue)</t>
        </is>
      </c>
      <c r="C12" s="10" t="n">
        <v>0.03</v>
      </c>
      <c r="D12" s="11" t="inlineStr">
        <is>
          <t>FCFF ($mm)</t>
        </is>
      </c>
      <c r="E12" s="12">
        <f>E8+E9-E10-E11</f>
        <v/>
      </c>
      <c r="F12" s="12">
        <f>F8+F9-F10-F11</f>
        <v/>
      </c>
      <c r="G12" s="12">
        <f>G8+G9-G10-G11</f>
        <v/>
      </c>
      <c r="H12" s="12">
        <f>H8+H9-H10-H11</f>
        <v/>
      </c>
      <c r="I12" s="12">
        <f>I8+I9-I10-I11</f>
        <v/>
      </c>
    </row>
    <row r="13">
      <c r="B13" s="6" t="inlineStr">
        <is>
          <t>Capex (% Revenue)</t>
        </is>
      </c>
      <c r="C13" s="10" t="n">
        <v>0.04</v>
      </c>
      <c r="D13" s="11" t="inlineStr">
        <is>
          <t>Discount factor</t>
        </is>
      </c>
      <c r="E13" s="13">
        <f>1/(1+$C$16)^1</f>
        <v/>
      </c>
      <c r="F13" s="13">
        <f>1/(1+$C$16)^2</f>
        <v/>
      </c>
      <c r="G13" s="13">
        <f>1/(1+$C$16)^3</f>
        <v/>
      </c>
      <c r="H13" s="13">
        <f>1/(1+$C$16)^4</f>
        <v/>
      </c>
      <c r="I13" s="13">
        <f>1/(1+$C$16)^5</f>
        <v/>
      </c>
    </row>
    <row r="14">
      <c r="B14" s="6" t="inlineStr">
        <is>
          <t>NWC (% Revenue)</t>
        </is>
      </c>
      <c r="C14" s="10" t="n">
        <v>0.1</v>
      </c>
      <c r="D14" s="11" t="inlineStr">
        <is>
          <t>PV of FCFF ($mm)</t>
        </is>
      </c>
      <c r="E14" s="12">
        <f>E12*E13</f>
        <v/>
      </c>
      <c r="F14" s="12">
        <f>F12*F13</f>
        <v/>
      </c>
      <c r="G14" s="12">
        <f>G12*G13</f>
        <v/>
      </c>
      <c r="H14" s="12">
        <f>H12*H13</f>
        <v/>
      </c>
      <c r="I14" s="12">
        <f>I12*I13</f>
        <v/>
      </c>
    </row>
    <row r="15">
      <c r="B15" s="6" t="inlineStr">
        <is>
          <t>WACC</t>
        </is>
      </c>
      <c r="C15" s="14" t="n">
        <v>0.1</v>
      </c>
      <c r="D15" s="8" t="n"/>
      <c r="E15" s="15" t="n"/>
      <c r="F15" s="15" t="n"/>
      <c r="G15" s="15" t="n"/>
      <c r="H15" s="15" t="n"/>
      <c r="I15" s="15" t="n"/>
    </row>
    <row r="16">
      <c r="B16" s="6" t="inlineStr">
        <is>
          <t>Terminal growth</t>
        </is>
      </c>
      <c r="C16" s="10" t="n">
        <v>0.03</v>
      </c>
      <c r="D16" s="11" t="inlineStr">
        <is>
          <t>Terminal value ($mm)</t>
        </is>
      </c>
      <c r="E16" s="12">
        <f>I12*(1+$C$17)/($C$16-$C$17)</f>
        <v/>
      </c>
      <c r="F16" s="15" t="n"/>
      <c r="G16" s="15" t="n"/>
      <c r="H16" s="15" t="n"/>
      <c r="I16" s="15" t="n"/>
    </row>
    <row r="17">
      <c r="B17" s="6" t="inlineStr">
        <is>
          <t>Net debt ($mm)</t>
        </is>
      </c>
      <c r="C17" s="7" t="n">
        <v>250</v>
      </c>
      <c r="D17" s="11" t="inlineStr">
        <is>
          <t>PV of terminal value ($mm)</t>
        </is>
      </c>
      <c r="E17" s="12">
        <f>E16*I13</f>
        <v/>
      </c>
      <c r="F17" s="15" t="n"/>
      <c r="G17" s="15" t="n"/>
      <c r="H17" s="15" t="n"/>
      <c r="I17" s="15" t="n"/>
    </row>
    <row r="18">
      <c r="B18" s="6" t="inlineStr">
        <is>
          <t>Diluted shares (mm)</t>
        </is>
      </c>
      <c r="C18" s="14" t="n">
        <v>100</v>
      </c>
      <c r="D18" s="11" t="inlineStr">
        <is>
          <t>Enterprise value ($mm)</t>
        </is>
      </c>
      <c r="E18" s="12">
        <f>SUM(E14:I14)+E17</f>
        <v/>
      </c>
      <c r="F18" s="15" t="n"/>
      <c r="G18" s="15" t="n"/>
      <c r="H18" s="15" t="n"/>
      <c r="I18" s="15" t="n"/>
    </row>
    <row r="19">
      <c r="B19" s="8" t="n"/>
      <c r="C19" s="16" t="n"/>
      <c r="D19" s="11" t="inlineStr">
        <is>
          <t>Equity value ($mm)</t>
        </is>
      </c>
      <c r="E19" s="12">
        <f>E18-$C$18</f>
        <v/>
      </c>
      <c r="F19" s="15" t="n"/>
      <c r="G19" s="15" t="n"/>
      <c r="H19" s="15" t="n"/>
      <c r="I19" s="15" t="n"/>
    </row>
    <row r="20">
      <c r="B20" s="8" t="n"/>
      <c r="C20" s="16" t="n"/>
      <c r="D20" s="11" t="inlineStr">
        <is>
          <t>Value per share</t>
        </is>
      </c>
      <c r="E20" s="17">
        <f>E19/$C$19</f>
        <v/>
      </c>
      <c r="F20" s="15" t="n"/>
      <c r="G20" s="15" t="n"/>
      <c r="H20" s="15" t="n"/>
      <c r="I20" s="15" t="n"/>
    </row>
    <row r="21"/>
    <row r="22">
      <c r="B22" s="3" t="inlineStr">
        <is>
          <t>Source note</t>
        </is>
      </c>
      <c r="C22" s="2" t="inlineStr">
        <is>
          <t>Source: Template assumptions, generated workbook, editable by user.</t>
        </is>
      </c>
    </row>
  </sheetData>
  <mergeCells count="1"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28" customWidth="1" min="3" max="3"/>
    <col width="27" customWidth="1" min="4" max="4"/>
    <col width="26" customWidth="1" min="5" max="5"/>
    <col width="15" customWidth="1" min="6" max="6"/>
    <col width="15" customWidth="1" min="7" max="7"/>
    <col width="15" customWidth="1" min="8" max="8"/>
    <col width="15" customWidth="1" min="9" max="9"/>
    <col width="12" customWidth="1" min="10" max="10"/>
  </cols>
  <sheetData>
    <row r="1"/>
    <row r="2">
      <c r="B2" s="5" t="inlineStr">
        <is>
          <t>DDM Valuation Model</t>
        </is>
      </c>
    </row>
    <row r="3"/>
    <row r="4">
      <c r="B4" s="3" t="inlineStr">
        <is>
          <t>Assumptions</t>
        </is>
      </c>
    </row>
    <row r="5">
      <c r="B5" s="6" t="inlineStr">
        <is>
          <t>Dividend just paid D0</t>
        </is>
      </c>
      <c r="C5" s="18" t="n">
        <v>2</v>
      </c>
      <c r="D5" s="15" t="n"/>
      <c r="E5" s="9" t="inlineStr">
        <is>
          <t>1</t>
        </is>
      </c>
      <c r="F5" s="9" t="inlineStr">
        <is>
          <t>2</t>
        </is>
      </c>
      <c r="G5" s="9" t="inlineStr">
        <is>
          <t>3</t>
        </is>
      </c>
      <c r="H5" s="9" t="inlineStr">
        <is>
          <t>4</t>
        </is>
      </c>
      <c r="I5" s="9" t="inlineStr">
        <is>
          <t>5</t>
        </is>
      </c>
    </row>
    <row r="6">
      <c r="B6" s="6" t="inlineStr">
        <is>
          <t>High growth g1 (Years 1-5)</t>
        </is>
      </c>
      <c r="C6" s="19" t="n">
        <v>0.08</v>
      </c>
      <c r="D6" s="20" t="inlineStr">
        <is>
          <t>Dividend per share</t>
        </is>
      </c>
      <c r="E6" s="21">
        <f>$C$5*(1+$C$6)</f>
        <v/>
      </c>
      <c r="F6" s="21">
        <f>E6*(1+$C$6)</f>
        <v/>
      </c>
      <c r="G6" s="21">
        <f>F6*(1+$C$6)</f>
        <v/>
      </c>
      <c r="H6" s="21">
        <f>G6*(1+$C$6)</f>
        <v/>
      </c>
      <c r="I6" s="21">
        <f>H6*(1+$C$6)</f>
        <v/>
      </c>
    </row>
    <row r="7">
      <c r="B7" s="6" t="inlineStr">
        <is>
          <t>Stable growth g2</t>
        </is>
      </c>
      <c r="C7" s="19" t="n">
        <v>0.03</v>
      </c>
      <c r="D7" s="20" t="inlineStr">
        <is>
          <t>Discount factor</t>
        </is>
      </c>
      <c r="E7" s="13">
        <f>1/(1+$C$8)^1</f>
        <v/>
      </c>
      <c r="F7" s="13">
        <f>1/(1+$C$8)^2</f>
        <v/>
      </c>
      <c r="G7" s="13">
        <f>1/(1+$C$8)^3</f>
        <v/>
      </c>
      <c r="H7" s="13">
        <f>1/(1+$C$8)^4</f>
        <v/>
      </c>
      <c r="I7" s="13">
        <f>1/(1+$C$8)^5</f>
        <v/>
      </c>
    </row>
    <row r="8">
      <c r="B8" s="6" t="inlineStr">
        <is>
          <t>Cost of equity</t>
        </is>
      </c>
      <c r="C8" s="19" t="n">
        <v>0.1</v>
      </c>
      <c r="D8" s="20" t="inlineStr">
        <is>
          <t>PV of dividend</t>
        </is>
      </c>
      <c r="E8" s="21">
        <f>E6*E7</f>
        <v/>
      </c>
      <c r="F8" s="21">
        <f>F6*F7</f>
        <v/>
      </c>
      <c r="G8" s="21">
        <f>G6*G7</f>
        <v/>
      </c>
      <c r="H8" s="21">
        <f>H6*H7</f>
        <v/>
      </c>
      <c r="I8" s="21">
        <f>I6*I7</f>
        <v/>
      </c>
    </row>
    <row r="9">
      <c r="B9" s="8" t="n"/>
      <c r="C9" s="15" t="n"/>
      <c r="D9" s="15" t="n"/>
      <c r="E9" s="15" t="n"/>
      <c r="F9" s="15" t="n"/>
      <c r="G9" s="15" t="n"/>
      <c r="H9" s="15" t="n"/>
      <c r="I9" s="15" t="n"/>
    </row>
    <row r="10">
      <c r="B10" s="8" t="n"/>
      <c r="C10" s="15" t="n"/>
      <c r="D10" s="20" t="inlineStr">
        <is>
          <t>Terminal value at Year 5</t>
        </is>
      </c>
      <c r="E10" s="21">
        <f>I6*(1+$C$7)/($C$8-$C$7)</f>
        <v/>
      </c>
      <c r="F10" s="15" t="n"/>
      <c r="G10" s="15" t="n"/>
      <c r="H10" s="15" t="n"/>
      <c r="I10" s="15" t="n"/>
    </row>
    <row r="11">
      <c r="B11" s="8" t="n"/>
      <c r="C11" s="15" t="n"/>
      <c r="D11" s="20" t="inlineStr">
        <is>
          <t>PV of terminal value</t>
        </is>
      </c>
      <c r="E11" s="21">
        <f>E10*I7</f>
        <v/>
      </c>
      <c r="F11" s="15" t="n"/>
      <c r="G11" s="15" t="n"/>
      <c r="H11" s="15" t="n"/>
      <c r="I11" s="15" t="n"/>
    </row>
    <row r="12">
      <c r="B12" s="8" t="n"/>
      <c r="C12" s="15" t="n"/>
      <c r="D12" s="20" t="inlineStr">
        <is>
          <t>Intrinsic value per share</t>
        </is>
      </c>
      <c r="E12" s="21">
        <f>SUM(E8:I8)+E11</f>
        <v/>
      </c>
      <c r="F12" s="15" t="n"/>
      <c r="G12" s="15" t="n"/>
      <c r="H12" s="15" t="n"/>
      <c r="I12" s="15" t="n"/>
    </row>
    <row r="13"/>
    <row r="14"/>
    <row r="15">
      <c r="B15" s="3" t="inlineStr">
        <is>
          <t>Source note</t>
        </is>
      </c>
      <c r="C15" s="2" t="inlineStr">
        <is>
          <t>Source: Template assumptions, generated workbook, editable by user.</t>
        </is>
      </c>
    </row>
  </sheetData>
  <mergeCells count="1">
    <mergeCell ref="B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/>
    <row r="2">
      <c r="B2" s="22" t="inlineStr">
        <is>
          <t>Instructions</t>
        </is>
      </c>
    </row>
    <row r="3"/>
    <row r="4">
      <c r="B4" s="2" t="inlineStr">
        <is>
          <t>1. Change only blue-font assumption cells.</t>
        </is>
      </c>
    </row>
    <row r="5">
      <c r="B5" s="2" t="inlineStr">
        <is>
          <t>2. DCF model values the firm using FCFF discounted at WACC.</t>
        </is>
      </c>
    </row>
    <row r="6">
      <c r="B6" s="2" t="inlineStr">
        <is>
          <t>3. DDM model values equity from expected dividends and terminal growth.</t>
        </is>
      </c>
    </row>
    <row r="7">
      <c r="B7" s="2" t="inlineStr">
        <is>
          <t>4. Terminal growth must stay below discount rate / cost of equity.</t>
        </is>
      </c>
    </row>
    <row r="8">
      <c r="B8" s="2" t="inlineStr">
        <is>
          <t>5. All calculations are formula-driven so the workbook updates dynamically.</t>
        </is>
      </c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2026-06-13T17:50:12Z</dcterms:created>
  <dcterms:modified xmlns:dcterms="http://purl.org/dc/terms/" xmlns:xsi="http://www.w3.org/2001/XMLSchema-instance" xsi:type="dcterms:W3CDTF">2026-06-13T17:50:12Z</dcterms:modified>
</cp:coreProperties>
</file>